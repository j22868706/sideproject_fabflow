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19</v>
      </c>
    </row>
    <row r="7" ht="48" customHeight="1">
      <c r="A7" s="3" t="inlineStr">
        <is>
          <t>完成比例</t>
        </is>
      </c>
      <c r="B7" s="4">
        <f>COUNTIF('每日進度'!I2:I31,"已完成")/30</f>
        <v>0.6333333333333333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已完成</t>
        </is>
      </c>
      <c r="J19" s="3" t="inlineStr">
        <is>
          <t/>
        </is>
      </c>
      <c r="K19" s="3" t="inlineStr">
        <is>
          <t>docs/k8s/day18-image-ci.md；Day 18 完成。PR #1 四項 CI 與紀錄提交 8421b3d 更新均依使用者確認成功；雙映像 PR SHA 45160aa86a58c4bdb4592d08addc655dc664e454。PR 已合併，main/origin/main 0e16ef4，main push 四項 CI 亦依使用者確認成功。映像僅在 runner，未發布／部署；手動觸發未驗證；實際時數待填。</t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已完成</t>
        </is>
      </c>
      <c r="J20" s="2" t="inlineStr">
        <is>
          <t/>
        </is>
      </c>
      <c r="K20" s="2" t="inlineStr">
        <is>
          <t>docs/k8s/day19-versioned-deployment.md；本機 ARM64 從乾淨 commit 395df1ec02a010163ea46e68374feb607c0c39bd 建置雙映像並載入 kind；values-kind.yaml 固定 SHA，lint/template 通過。Helm revision4 deployed、雙API/Dashboard新Pod版本正確，DB/PVC不變；舊結果快照三份一致、未知ID404，兩情境HTTP smoke全PASS。未發布registry／量測更新失敗率／rollback；待提交與PR CI，實際時數待填。</t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